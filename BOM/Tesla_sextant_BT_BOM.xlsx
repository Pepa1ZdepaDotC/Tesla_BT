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1 SOČ Tesla 1129 Sextant\BOM\"/>
    </mc:Choice>
  </mc:AlternateContent>
  <xr:revisionPtr revIDLastSave="0" documentId="13_ncr:1_{AA1EA33B-5717-49D6-9CE2-365C4EE4B8CB}" xr6:coauthVersionLast="47" xr6:coauthVersionMax="47" xr10:uidLastSave="{00000000-0000-0000-0000-000000000000}"/>
  <bookViews>
    <workbookView xWindow="38280" yWindow="3345" windowWidth="29040" windowHeight="17520" xr2:uid="{0E5F8FCF-E6B2-4194-9BFF-0FE2B22C7CD6}"/>
  </bookViews>
  <sheets>
    <sheet name="Tesla_sextant_B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6" i="1" l="1"/>
</calcChain>
</file>

<file path=xl/sharedStrings.xml><?xml version="1.0" encoding="utf-8"?>
<sst xmlns="http://schemas.openxmlformats.org/spreadsheetml/2006/main" count="303" uniqueCount="177">
  <si>
    <t>Reference</t>
  </si>
  <si>
    <t>Value</t>
  </si>
  <si>
    <t>Footprint</t>
  </si>
  <si>
    <t>Datasheet</t>
  </si>
  <si>
    <t>Qty</t>
  </si>
  <si>
    <t>Part_num</t>
  </si>
  <si>
    <t>DNP</t>
  </si>
  <si>
    <t>Exclude from BOM</t>
  </si>
  <si>
    <t>C1,C9,C14,C21,C27,C28,C29,C30,C36,C37,C38</t>
  </si>
  <si>
    <t>100nF</t>
  </si>
  <si>
    <t>Capacitor_SMD:C_0805_2012Metric</t>
  </si>
  <si>
    <t>~</t>
  </si>
  <si>
    <t>C2,C3,C4,C5,C10,C12,C13,C17,C22,C25,C26</t>
  </si>
  <si>
    <t>10uF</t>
  </si>
  <si>
    <t>C6,C7</t>
  </si>
  <si>
    <t>2.2nF</t>
  </si>
  <si>
    <t>C8,C11</t>
  </si>
  <si>
    <t>2.2uF</t>
  </si>
  <si>
    <t>C15,C16</t>
  </si>
  <si>
    <t>470nF</t>
  </si>
  <si>
    <t>C18,C19,C20</t>
  </si>
  <si>
    <t>Excluded from BOM</t>
  </si>
  <si>
    <t>C23,C24</t>
  </si>
  <si>
    <t>22uF</t>
  </si>
  <si>
    <t>C31</t>
  </si>
  <si>
    <t>5.6pF</t>
  </si>
  <si>
    <t>Capacitor_SMD:C_0603_1608Metric</t>
  </si>
  <si>
    <t>C32</t>
  </si>
  <si>
    <t>4.7pF</t>
  </si>
  <si>
    <t>C33</t>
  </si>
  <si>
    <t>470pF</t>
  </si>
  <si>
    <t>C34</t>
  </si>
  <si>
    <t>220pF</t>
  </si>
  <si>
    <t>C35</t>
  </si>
  <si>
    <t>TBD</t>
  </si>
  <si>
    <t>C39,C43</t>
  </si>
  <si>
    <t>C40,C42</t>
  </si>
  <si>
    <t>C41</t>
  </si>
  <si>
    <t>D1</t>
  </si>
  <si>
    <t>WE-TVS-824015043</t>
  </si>
  <si>
    <t>Package_TO_SOT_SMD:SOT-23-6</t>
  </si>
  <si>
    <t>https://www.we-online.com/components/products/datasheet/824015043.pdf</t>
  </si>
  <si>
    <t>D2</t>
  </si>
  <si>
    <t>SMAJ5.0CA</t>
  </si>
  <si>
    <t>Diode_SMD:D_SMA</t>
  </si>
  <si>
    <t>https://www.littelfuse.com/media?resourcetype=datasheets&amp;itemid=75e32973-b177-4ee3-a0ff-cedaf1abdb93&amp;filename=smaj-datasheet</t>
  </si>
  <si>
    <t>D3</t>
  </si>
  <si>
    <t>Diode_SMD:D_SMB</t>
  </si>
  <si>
    <t>http://www.jameco.com/Jameco/Products/ProdDS/1538777.pdf</t>
  </si>
  <si>
    <t>D4,D6</t>
  </si>
  <si>
    <t>B240</t>
  </si>
  <si>
    <t>D5</t>
  </si>
  <si>
    <t>SMAJ36A</t>
  </si>
  <si>
    <t>D7,D8</t>
  </si>
  <si>
    <t>SMAJ5.0A</t>
  </si>
  <si>
    <t>H1,H2,H3,H4</t>
  </si>
  <si>
    <t>MountingHole_Pad</t>
  </si>
  <si>
    <t>MountingHole:MountingHole_4.3mm_M4_DIN965_Pad_TopBottom</t>
  </si>
  <si>
    <t>J1,J3</t>
  </si>
  <si>
    <t>Conn_01x05</t>
  </si>
  <si>
    <t>Connector_PinSocket_2.00mm:PinSocket_1x05_P2.00mm_Vertical</t>
  </si>
  <si>
    <t>J2,J4,J8,J9</t>
  </si>
  <si>
    <t>Conn_01x02</t>
  </si>
  <si>
    <t>Tesla_Library:Conn_Solder_1x02_SMD</t>
  </si>
  <si>
    <t>J6</t>
  </si>
  <si>
    <t>USB_C_Receptacle_USB2.0_16P</t>
  </si>
  <si>
    <t>Connector_USB:USB_C_Receptacle_GCT_USB4105-xx-A_16P_TopMnt_Horizontal</t>
  </si>
  <si>
    <t>https://www.usb.org/sites/default/files/documents/usb_type-c.zip</t>
  </si>
  <si>
    <t>USB4105-GF-A</t>
  </si>
  <si>
    <t>J7</t>
  </si>
  <si>
    <t>Conn_01x03</t>
  </si>
  <si>
    <t>Tesla_Library:Conn_Solder_1x03_SMD</t>
  </si>
  <si>
    <t>JP1,JP2,JP3,JP4</t>
  </si>
  <si>
    <t>SolderJumper_Open</t>
  </si>
  <si>
    <t>Jumper:SolderJumper-2_P1.3mm_Open_TrianglePad1.0x1.5mm</t>
  </si>
  <si>
    <t>K1</t>
  </si>
  <si>
    <t>G6EU</t>
  </si>
  <si>
    <t>Relay_THT:Relay_SPDT_Omron_G6E</t>
  </si>
  <si>
    <t>https://www.omron.com/ecb/products/pdf/en-g6e.pdf</t>
  </si>
  <si>
    <t>L1</t>
  </si>
  <si>
    <t>2.2uH</t>
  </si>
  <si>
    <t>Inductor_SMD:L_12x12mm_H8mm</t>
  </si>
  <si>
    <t>https://www.eaton.com/content/dam/eaton/products/electronic-components/resources/data-sheet/eaton-dr-high-power-density-high-efficiency-shielded-drum-core-power-inductors-data-sheet.pdf</t>
  </si>
  <si>
    <t>DR125-2R2-R</t>
  </si>
  <si>
    <t>L2</t>
  </si>
  <si>
    <t>L3</t>
  </si>
  <si>
    <t>870nF</t>
  </si>
  <si>
    <t>Inductor_SMD:L_0805_2012Metric</t>
  </si>
  <si>
    <t>https://www.tme.eu/Document/0d0d46393a0d692394fde600dc165772/DL0805_1206.pdf</t>
  </si>
  <si>
    <t>L4</t>
  </si>
  <si>
    <t>1.3uF</t>
  </si>
  <si>
    <t>L5</t>
  </si>
  <si>
    <t>Inductor_SMD:L_0603_1608Metric</t>
  </si>
  <si>
    <t>L6</t>
  </si>
  <si>
    <t>12nH</t>
  </si>
  <si>
    <t>LQG18HN12NJ00D</t>
  </si>
  <si>
    <t>L7</t>
  </si>
  <si>
    <t>20nH</t>
  </si>
  <si>
    <t>L8</t>
  </si>
  <si>
    <t>18nH</t>
  </si>
  <si>
    <t>Q1</t>
  </si>
  <si>
    <t>BC817</t>
  </si>
  <si>
    <t>Package_TO_SOT_SMD:SOT-23</t>
  </si>
  <si>
    <t>https://www.onsemi.com/pub/Collateral/BC818-D.pdf</t>
  </si>
  <si>
    <t>R1,R2,R3,R6,R7,R16</t>
  </si>
  <si>
    <t>10K</t>
  </si>
  <si>
    <t>R4,R5</t>
  </si>
  <si>
    <t>R8,R10</t>
  </si>
  <si>
    <t>R9,R11</t>
  </si>
  <si>
    <t>3.3K</t>
  </si>
  <si>
    <t>R12,R13</t>
  </si>
  <si>
    <t>Resistor_SMD:R_0805_2012Metric</t>
  </si>
  <si>
    <t>R14</t>
  </si>
  <si>
    <t>7.5K</t>
  </si>
  <si>
    <t>R15,R17</t>
  </si>
  <si>
    <t>1K</t>
  </si>
  <si>
    <t>R18</t>
  </si>
  <si>
    <t>R19,R20</t>
  </si>
  <si>
    <t>100K</t>
  </si>
  <si>
    <t>R21,R24</t>
  </si>
  <si>
    <t>1R</t>
  </si>
  <si>
    <t>Resistor_SMD:R_2512_6332Metric</t>
  </si>
  <si>
    <t>https://www.tme.eu/Document/4f50d320a6ddacb273098f84373b6259/rezystor-smd.pdf</t>
  </si>
  <si>
    <t>25121WF100KT4E</t>
  </si>
  <si>
    <t>R22,R23</t>
  </si>
  <si>
    <t>5.1K</t>
  </si>
  <si>
    <t>R25</t>
  </si>
  <si>
    <t>R26</t>
  </si>
  <si>
    <t>R27,R29,R30,R33</t>
  </si>
  <si>
    <t>R28</t>
  </si>
  <si>
    <t>R31,R32</t>
  </si>
  <si>
    <t>5K</t>
  </si>
  <si>
    <t>TP1,TP2,TP3,TP4,TP5,TP6,TP7,TP8,TP9,TP10,TP11</t>
  </si>
  <si>
    <t>TestPoint</t>
  </si>
  <si>
    <t>TestPoint:TestPoint_Pad_D2.5mm</t>
  </si>
  <si>
    <t>U1</t>
  </si>
  <si>
    <t>ESP32-C3-WROOM-02</t>
  </si>
  <si>
    <t>RF_Module:ESP32-C3-WROOM-02</t>
  </si>
  <si>
    <t>https://www.espressif.com/sites/default/files/documentation/esp32-c3-wroom-02_datasheet_en.pdf</t>
  </si>
  <si>
    <t>U2</t>
  </si>
  <si>
    <t>PCM5102A</t>
  </si>
  <si>
    <t>Package_SO:TSSOP-20_4.4x6.5mm_P0.65mm</t>
  </si>
  <si>
    <t>https://www.ti.com/lit/ds/symlink/pcm5102a.pdf</t>
  </si>
  <si>
    <t>U3</t>
  </si>
  <si>
    <t>OPA2342</t>
  </si>
  <si>
    <t>Package_SO:SOIC-8_3.9x4.9mm_P1.27mm</t>
  </si>
  <si>
    <t>https://www.ti.com/lit/gpn/opa2342</t>
  </si>
  <si>
    <t>U4</t>
  </si>
  <si>
    <t>TPA0211</t>
  </si>
  <si>
    <t>Package_SO:HVSSOP-8-1EP_3x3mm_P0.65mm_EP1.57x1.89mm_ThermalVias</t>
  </si>
  <si>
    <t>https://www.ti.com/lit/gpn/tpa0211</t>
  </si>
  <si>
    <t>U5</t>
  </si>
  <si>
    <t>USBLC6-2SC6</t>
  </si>
  <si>
    <t>https://www.st.com/resource/en/datasheet/usblc6-2.pdf</t>
  </si>
  <si>
    <t>U6</t>
  </si>
  <si>
    <t>AP63203WU</t>
  </si>
  <si>
    <t>Package_TO_SOT_SMD:TSOT-23-6</t>
  </si>
  <si>
    <t>https://www.diodes.com/assets/Datasheets/AP63200-AP63201-AP63203-AP63205.pdf</t>
  </si>
  <si>
    <t>U7</t>
  </si>
  <si>
    <t>LD1117STR</t>
  </si>
  <si>
    <t>Package_TO_SOT_SMD:SOT-223</t>
  </si>
  <si>
    <t>U8</t>
  </si>
  <si>
    <t>AD831</t>
  </si>
  <si>
    <t>Package_LCC:PLCC-20</t>
  </si>
  <si>
    <t>https://www.analog.com/en/products/ad831.html?doc=ad831.pdf</t>
  </si>
  <si>
    <t>Y1</t>
  </si>
  <si>
    <t>OSC25M-3.3I/S5</t>
  </si>
  <si>
    <t>Oscillator:Oscillator_SMD_Fordahl_DFAS15-4Pin_5.0x3.2mm_HandSoldering</t>
  </si>
  <si>
    <t>https://www.tme.eu/Document/7a0ceeaed569e73bfa5cc28fb0e463dd/YIC-S7.pdf</t>
  </si>
  <si>
    <t>x</t>
  </si>
  <si>
    <t>Needs ordering</t>
  </si>
  <si>
    <t>https://cz.mouser.com/ProductDetail/TDK/MLF2012A1R2J?qs=Ydpp5fRLlSFgYJXn5FqgMw%3D%3D</t>
  </si>
  <si>
    <t>https://cz.mouser.com/ProductDetail/TDK/MLF2012DR82KT000?qs=%2FPzWLGNeQ%252BgsQ4YBnLv%2FMA%3D%3D</t>
  </si>
  <si>
    <t>https://cz.mouser.com/ProductDetail/Texas-Instruments/PCM5102APW?qs=E2%2FxqS9xjzqNHu82%252Bs583Q%3D%3D</t>
  </si>
  <si>
    <t>https://cz.mouser.com/ProductDetail/Texas-Instruments/TPA0211DGN?qs=fvkeCqCHl3CCTT2AcV5qpg%3D%3D</t>
  </si>
  <si>
    <t>https://cz.mouser.com/ProductDetail/Analog-Devices/AD831APZ?qs=%2FtpEQrCGXCwCQd%2FRK7qjTw%3D%3D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</si>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</sst>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theme="7"/>
      <name val="Aptos Narrow"/>
      <family val="2"/>
      <scheme val="minor"/>
    </font>
    <font>
      <u/>
      <sz val="11"/>
      <color theme="7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/>
    <xf numFmtId="0" fontId="14" fillId="34" borderId="0" xfId="0" applyFont="1" applyFill="1"/>
    <xf numFmtId="0" fontId="14" fillId="34" borderId="0" xfId="0" applyFont="1" applyFill="1" applyAlignment="1">
      <alignment horizontal="center"/>
    </xf>
    <xf numFmtId="0" fontId="14" fillId="34" borderId="0" xfId="0" applyFont="1" applyFill="1" applyAlignment="1">
      <alignment horizontal="left"/>
    </xf>
    <xf numFmtId="0" fontId="14" fillId="0" borderId="0" xfId="0" applyFont="1" applyFill="1"/>
    <xf numFmtId="0" fontId="0" fillId="0" borderId="0" xfId="0" applyFill="1"/>
    <xf numFmtId="0" fontId="0" fillId="0" borderId="0" xfId="0" applyBorder="1" applyAlignment="1">
      <alignment horizontal="left"/>
    </xf>
    <xf numFmtId="0" fontId="21" fillId="0" borderId="0" xfId="0" applyFo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33" borderId="10" xfId="0" applyFont="1" applyFill="1" applyBorder="1" applyAlignment="1">
      <alignment horizontal="left"/>
    </xf>
    <xf numFmtId="0" fontId="21" fillId="0" borderId="0" xfId="0" applyFont="1" applyFill="1"/>
    <xf numFmtId="0" fontId="21" fillId="0" borderId="0" xfId="0" applyFont="1" applyFill="1" applyAlignment="1">
      <alignment horizontal="center"/>
    </xf>
    <xf numFmtId="0" fontId="21" fillId="0" borderId="0" xfId="0" applyFont="1" applyFill="1" applyAlignment="1">
      <alignment horizontal="left"/>
    </xf>
    <xf numFmtId="0" fontId="21" fillId="0" borderId="0" xfId="0" applyFont="1" applyBorder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14" fillId="34" borderId="0" xfId="0" applyFont="1" applyFill="1" applyBorder="1" applyAlignment="1">
      <alignment horizontal="left"/>
    </xf>
    <xf numFmtId="0" fontId="22" fillId="0" borderId="0" xfId="0" applyFont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3" fillId="0" borderId="0" xfId="42" applyFont="1"/>
    <xf numFmtId="0" fontId="22" fillId="0" borderId="0" xfId="0" applyFont="1" applyFill="1"/>
    <xf numFmtId="0" fontId="22" fillId="0" borderId="0" xfId="0" applyFont="1" applyFill="1" applyAlignment="1">
      <alignment horizontal="center"/>
    </xf>
    <xf numFmtId="0" fontId="22" fillId="0" borderId="0" xfId="0" applyFont="1" applyFill="1" applyAlignment="1">
      <alignment horizontal="left"/>
    </xf>
    <xf numFmtId="0" fontId="23" fillId="0" borderId="0" xfId="42" applyFont="1" applyFill="1"/>
  </cellXfs>
  <cellStyles count="43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Hypertextový odkaz" xfId="42" builtinId="8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4E82F6-BE6F-4BB5-B84D-826C358730A1}" name="Tabulka1" displayName="Tabulka1" ref="A1:I64" totalsRowShown="0" headerRowDxfId="8">
  <autoFilter ref="A1:I64" xr:uid="{9F4E82F6-BE6F-4BB5-B84D-826C358730A1}"/>
  <sortState xmlns:xlrd2="http://schemas.microsoft.com/office/spreadsheetml/2017/richdata2" ref="A2:I64">
    <sortCondition ref="A1:A64"/>
  </sortState>
  <tableColumns count="9">
    <tableColumn id="1" xr3:uid="{37BEFA10-4DBD-4783-A751-E3ABC52FA9B1}" name="Reference"/>
    <tableColumn id="2" xr3:uid="{5A08CF3E-F816-4011-BEB2-63A3F864D9A6}" name="Value" dataDxfId="7"/>
    <tableColumn id="3" xr3:uid="{6329628D-7F80-428E-A4B5-D7E5A9D4DA36}" name="Footprint" dataDxfId="6"/>
    <tableColumn id="4" xr3:uid="{78C350E2-A17B-48BF-A9F0-2E8EE8019E84}" name="Datasheet" dataDxfId="5"/>
    <tableColumn id="5" xr3:uid="{55300261-1697-415F-B074-A9BFD4052129}" name="Qty" dataDxfId="4"/>
    <tableColumn id="6" xr3:uid="{B09097FE-0A46-4C69-B8AF-95AC3BBBD2E9}" name="Part_num" dataDxfId="3"/>
    <tableColumn id="7" xr3:uid="{67B1562A-447B-4BE4-92DF-88E4C73570D5}" name="DNP" dataDxfId="2"/>
    <tableColumn id="8" xr3:uid="{361D7C29-1440-444E-890E-B2C2653C5609}" name="Exclude from BOM" dataDxfId="1"/>
    <tableColumn id="10" xr3:uid="{B3F0DEAD-5ABE-42CB-8FF1-2E184758C1D0}" name="Needs ordering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z.mouser.com/ProductDetail/Texas-Instruments/PCM5102APW?qs=E2%2FxqS9xjzqNHu82%252Bs583Q%3D%3D" TargetMode="External"/><Relationship Id="rId2" Type="http://schemas.openxmlformats.org/officeDocument/2006/relationships/hyperlink" Target="https://cz.mouser.com/ProductDetail/TDK/MLF2012A1R2J?qs=Ydpp5fRLlSFgYJXn5FqgMw%3D%3D" TargetMode="External"/><Relationship Id="rId1" Type="http://schemas.openxmlformats.org/officeDocument/2006/relationships/hyperlink" Target="https://cz.mouser.com/ProductDetail/TDK/MLF2012DR82KT000?qs=%2FPzWLGNeQ%252BgsQ4YBnLv%2FMA%3D%3D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cz.mouser.com/ProductDetail/Analog-Devices/AD831APZ?qs=%2FtpEQrCGXCwCQd%2FRK7qjTw%3D%3D" TargetMode="External"/><Relationship Id="rId4" Type="http://schemas.openxmlformats.org/officeDocument/2006/relationships/hyperlink" Target="https://cz.mouser.com/ProductDetail/Texas-Instruments/TPA0211DGN?qs=fvkeCqCHl3CCTT2AcV5qp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22E50-89B1-4840-8D61-F33D44CE5203}">
  <dimension ref="A1:V66"/>
  <sheetViews>
    <sheetView tabSelected="1" topLeftCell="A22" zoomScale="115" zoomScaleNormal="115" workbookViewId="0">
      <selection activeCell="A33" sqref="A33:XFD33"/>
    </sheetView>
  </sheetViews>
  <sheetFormatPr defaultRowHeight="15" x14ac:dyDescent="0.25"/>
  <cols>
    <col min="1" max="1" width="40.28515625" customWidth="1"/>
    <col min="2" max="2" width="31.28515625" customWidth="1"/>
    <col min="3" max="3" width="33.28515625" customWidth="1"/>
    <col min="4" max="4" width="20.28515625" customWidth="1"/>
    <col min="5" max="5" width="11" customWidth="1"/>
    <col min="6" max="6" width="21.140625" customWidth="1"/>
    <col min="8" max="8" width="19.5703125" customWidth="1"/>
    <col min="9" max="9" width="16.285156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170</v>
      </c>
    </row>
    <row r="2" spans="1:9" x14ac:dyDescent="0.25">
      <c r="A2" t="s">
        <v>8</v>
      </c>
      <c r="B2" s="2" t="s">
        <v>9</v>
      </c>
      <c r="C2" s="1" t="s">
        <v>10</v>
      </c>
      <c r="D2" s="1" t="s">
        <v>11</v>
      </c>
      <c r="E2" s="2">
        <v>11</v>
      </c>
      <c r="F2" s="1"/>
      <c r="G2" s="2"/>
      <c r="H2" s="2"/>
      <c r="I2" s="2" t="s">
        <v>169</v>
      </c>
    </row>
    <row r="3" spans="1:9" x14ac:dyDescent="0.25">
      <c r="A3" s="16" t="s">
        <v>18</v>
      </c>
      <c r="B3" s="17" t="s">
        <v>19</v>
      </c>
      <c r="C3" s="18" t="s">
        <v>10</v>
      </c>
      <c r="D3" s="18" t="s">
        <v>11</v>
      </c>
      <c r="E3" s="17">
        <v>2</v>
      </c>
      <c r="F3" s="18"/>
      <c r="G3" s="17"/>
      <c r="H3" s="17"/>
      <c r="I3" s="17"/>
    </row>
    <row r="4" spans="1:9" x14ac:dyDescent="0.25">
      <c r="A4" t="s">
        <v>20</v>
      </c>
      <c r="B4" s="2" t="s">
        <v>13</v>
      </c>
      <c r="C4" s="1" t="s">
        <v>10</v>
      </c>
      <c r="D4" s="1" t="s">
        <v>11</v>
      </c>
      <c r="E4" s="2">
        <v>3</v>
      </c>
      <c r="F4" s="1"/>
      <c r="G4" s="2" t="s">
        <v>6</v>
      </c>
      <c r="H4" s="2" t="s">
        <v>21</v>
      </c>
      <c r="I4" s="2" t="s">
        <v>169</v>
      </c>
    </row>
    <row r="5" spans="1:9" x14ac:dyDescent="0.25">
      <c r="A5" t="s">
        <v>12</v>
      </c>
      <c r="B5" s="2" t="s">
        <v>13</v>
      </c>
      <c r="C5" s="1" t="s">
        <v>10</v>
      </c>
      <c r="D5" s="1" t="s">
        <v>11</v>
      </c>
      <c r="E5" s="2">
        <v>11</v>
      </c>
      <c r="F5" s="1"/>
      <c r="G5" s="2"/>
      <c r="H5" s="2"/>
      <c r="I5" s="2" t="s">
        <v>169</v>
      </c>
    </row>
    <row r="6" spans="1:9" s="16" customFormat="1" x14ac:dyDescent="0.25">
      <c r="A6" s="16" t="s">
        <v>22</v>
      </c>
      <c r="B6" s="17" t="s">
        <v>23</v>
      </c>
      <c r="C6" s="18" t="s">
        <v>10</v>
      </c>
      <c r="D6" s="18" t="s">
        <v>11</v>
      </c>
      <c r="E6" s="17">
        <v>2</v>
      </c>
      <c r="F6" s="18"/>
      <c r="G6" s="17"/>
      <c r="H6" s="17"/>
      <c r="I6" s="17"/>
    </row>
    <row r="7" spans="1:9" s="16" customFormat="1" x14ac:dyDescent="0.25">
      <c r="A7" s="16" t="s">
        <v>24</v>
      </c>
      <c r="B7" s="17" t="s">
        <v>25</v>
      </c>
      <c r="C7" s="18" t="s">
        <v>26</v>
      </c>
      <c r="D7" s="18" t="s">
        <v>11</v>
      </c>
      <c r="E7" s="17">
        <v>1</v>
      </c>
      <c r="F7" s="18"/>
      <c r="G7" s="17"/>
      <c r="H7" s="17"/>
      <c r="I7" s="17"/>
    </row>
    <row r="8" spans="1:9" s="16" customFormat="1" x14ac:dyDescent="0.25">
      <c r="A8" s="16" t="s">
        <v>27</v>
      </c>
      <c r="B8" s="17" t="s">
        <v>28</v>
      </c>
      <c r="C8" s="18" t="s">
        <v>26</v>
      </c>
      <c r="D8" s="18" t="s">
        <v>11</v>
      </c>
      <c r="E8" s="17">
        <v>1</v>
      </c>
      <c r="F8" s="18"/>
      <c r="G8" s="17"/>
      <c r="H8" s="17"/>
      <c r="I8" s="17"/>
    </row>
    <row r="9" spans="1:9" s="16" customFormat="1" x14ac:dyDescent="0.25">
      <c r="A9" s="16" t="s">
        <v>29</v>
      </c>
      <c r="B9" s="17" t="s">
        <v>30</v>
      </c>
      <c r="C9" s="18" t="s">
        <v>26</v>
      </c>
      <c r="D9" s="18" t="s">
        <v>11</v>
      </c>
      <c r="E9" s="17">
        <v>1</v>
      </c>
      <c r="F9" s="18"/>
      <c r="G9" s="17"/>
      <c r="H9" s="17"/>
      <c r="I9" s="17"/>
    </row>
    <row r="10" spans="1:9" s="16" customFormat="1" x14ac:dyDescent="0.25">
      <c r="A10" s="20" t="s">
        <v>31</v>
      </c>
      <c r="B10" s="21" t="s">
        <v>32</v>
      </c>
      <c r="C10" s="22" t="s">
        <v>26</v>
      </c>
      <c r="D10" s="22" t="s">
        <v>11</v>
      </c>
      <c r="E10" s="21">
        <v>1</v>
      </c>
      <c r="F10" s="22"/>
      <c r="G10" s="21"/>
      <c r="H10" s="21"/>
      <c r="I10" s="21"/>
    </row>
    <row r="11" spans="1:9" s="16" customFormat="1" x14ac:dyDescent="0.25">
      <c r="A11" s="14" t="s">
        <v>33</v>
      </c>
      <c r="B11" s="24" t="s">
        <v>34</v>
      </c>
      <c r="C11" s="25" t="s">
        <v>10</v>
      </c>
      <c r="D11" s="25" t="s">
        <v>11</v>
      </c>
      <c r="E11" s="24">
        <v>1</v>
      </c>
      <c r="F11" s="25"/>
      <c r="G11" s="24"/>
      <c r="H11" s="24"/>
      <c r="I11" s="24" t="s">
        <v>169</v>
      </c>
    </row>
    <row r="12" spans="1:9" s="9" customFormat="1" x14ac:dyDescent="0.25">
      <c r="A12" t="s">
        <v>35</v>
      </c>
      <c r="B12" s="2" t="s">
        <v>15</v>
      </c>
      <c r="C12" s="1" t="s">
        <v>26</v>
      </c>
      <c r="D12" s="1" t="s">
        <v>11</v>
      </c>
      <c r="E12" s="2">
        <v>2</v>
      </c>
      <c r="F12" s="1"/>
      <c r="G12" s="2"/>
      <c r="H12" s="2"/>
      <c r="I12" s="2"/>
    </row>
    <row r="13" spans="1:9" x14ac:dyDescent="0.25">
      <c r="A13" t="s">
        <v>36</v>
      </c>
      <c r="B13" s="2" t="s">
        <v>9</v>
      </c>
      <c r="C13" s="1" t="s">
        <v>26</v>
      </c>
      <c r="D13" s="1" t="s">
        <v>11</v>
      </c>
      <c r="E13" s="2">
        <v>2</v>
      </c>
      <c r="F13" s="1"/>
      <c r="G13" s="2"/>
      <c r="H13" s="2"/>
      <c r="I13" s="2" t="s">
        <v>169</v>
      </c>
    </row>
    <row r="14" spans="1:9" x14ac:dyDescent="0.25">
      <c r="A14" s="14" t="s">
        <v>37</v>
      </c>
      <c r="B14" s="24" t="s">
        <v>34</v>
      </c>
      <c r="C14" s="25" t="s">
        <v>10</v>
      </c>
      <c r="D14" s="25" t="s">
        <v>11</v>
      </c>
      <c r="E14" s="24">
        <v>1</v>
      </c>
      <c r="F14" s="25"/>
      <c r="G14" s="24" t="s">
        <v>6</v>
      </c>
      <c r="H14" s="24"/>
      <c r="I14" s="24" t="s">
        <v>169</v>
      </c>
    </row>
    <row r="15" spans="1:9" x14ac:dyDescent="0.25">
      <c r="A15" t="s">
        <v>14</v>
      </c>
      <c r="B15" s="2" t="s">
        <v>15</v>
      </c>
      <c r="C15" s="1" t="s">
        <v>10</v>
      </c>
      <c r="D15" s="15" t="s">
        <v>11</v>
      </c>
      <c r="E15" s="2">
        <v>2</v>
      </c>
      <c r="F15" s="1"/>
      <c r="G15" s="2"/>
      <c r="H15" s="2"/>
      <c r="I15" s="2" t="s">
        <v>169</v>
      </c>
    </row>
    <row r="16" spans="1:9" s="16" customFormat="1" x14ac:dyDescent="0.25">
      <c r="A16" s="16" t="s">
        <v>16</v>
      </c>
      <c r="B16" s="17" t="s">
        <v>17</v>
      </c>
      <c r="C16" s="18" t="s">
        <v>10</v>
      </c>
      <c r="D16" s="18" t="s">
        <v>11</v>
      </c>
      <c r="E16" s="17">
        <v>2</v>
      </c>
      <c r="F16" s="18"/>
      <c r="G16" s="17"/>
      <c r="H16" s="17"/>
      <c r="I16" s="17"/>
    </row>
    <row r="17" spans="1:10" s="27" customFormat="1" x14ac:dyDescent="0.25">
      <c r="A17" s="27" t="s">
        <v>38</v>
      </c>
      <c r="B17" s="28" t="s">
        <v>39</v>
      </c>
      <c r="C17" s="29" t="s">
        <v>40</v>
      </c>
      <c r="D17" s="29" t="s">
        <v>41</v>
      </c>
      <c r="E17" s="28">
        <v>1</v>
      </c>
      <c r="F17" s="29"/>
      <c r="G17" s="28"/>
      <c r="H17" s="28"/>
      <c r="I17" s="28"/>
    </row>
    <row r="18" spans="1:10" s="16" customFormat="1" x14ac:dyDescent="0.25">
      <c r="A18" s="16" t="s">
        <v>42</v>
      </c>
      <c r="B18" s="17" t="s">
        <v>43</v>
      </c>
      <c r="C18" s="18" t="s">
        <v>44</v>
      </c>
      <c r="D18" s="18" t="s">
        <v>45</v>
      </c>
      <c r="E18" s="17">
        <v>1</v>
      </c>
      <c r="F18" s="18"/>
      <c r="G18" s="17"/>
      <c r="H18" s="17"/>
      <c r="I18" s="17"/>
    </row>
    <row r="19" spans="1:10" s="16" customFormat="1" x14ac:dyDescent="0.25">
      <c r="A19" s="16" t="s">
        <v>46</v>
      </c>
      <c r="B19" s="17" t="s">
        <v>50</v>
      </c>
      <c r="C19" s="18" t="s">
        <v>47</v>
      </c>
      <c r="D19" s="18" t="s">
        <v>48</v>
      </c>
      <c r="E19" s="17">
        <v>1</v>
      </c>
      <c r="F19" s="18"/>
      <c r="G19" s="17"/>
      <c r="H19" s="17"/>
      <c r="I19" s="17"/>
    </row>
    <row r="20" spans="1:10" s="16" customFormat="1" x14ac:dyDescent="0.25">
      <c r="A20" s="16" t="s">
        <v>49</v>
      </c>
      <c r="B20" s="17" t="s">
        <v>50</v>
      </c>
      <c r="C20" s="18" t="s">
        <v>47</v>
      </c>
      <c r="D20" s="19" t="s">
        <v>48</v>
      </c>
      <c r="E20" s="17">
        <v>2</v>
      </c>
      <c r="F20" s="18"/>
      <c r="G20" s="17"/>
      <c r="H20" s="17"/>
      <c r="I20" s="17"/>
    </row>
    <row r="21" spans="1:10" s="16" customFormat="1" x14ac:dyDescent="0.25">
      <c r="A21" s="16" t="s">
        <v>51</v>
      </c>
      <c r="B21" s="17" t="s">
        <v>52</v>
      </c>
      <c r="C21" s="18" t="s">
        <v>44</v>
      </c>
      <c r="D21" s="18" t="s">
        <v>45</v>
      </c>
      <c r="E21" s="17">
        <v>1</v>
      </c>
      <c r="F21" s="18"/>
      <c r="G21" s="17"/>
      <c r="H21" s="17"/>
      <c r="I21" s="17"/>
    </row>
    <row r="22" spans="1:10" s="16" customFormat="1" x14ac:dyDescent="0.25">
      <c r="A22" s="16" t="s">
        <v>53</v>
      </c>
      <c r="B22" s="17" t="s">
        <v>54</v>
      </c>
      <c r="C22" s="18" t="s">
        <v>44</v>
      </c>
      <c r="D22" s="18" t="s">
        <v>45</v>
      </c>
      <c r="E22" s="17">
        <v>2</v>
      </c>
      <c r="F22" s="18"/>
      <c r="G22" s="17"/>
      <c r="H22" s="17"/>
      <c r="I22" s="17"/>
    </row>
    <row r="23" spans="1:10" x14ac:dyDescent="0.25">
      <c r="A23" t="s">
        <v>55</v>
      </c>
      <c r="B23" s="2" t="s">
        <v>56</v>
      </c>
      <c r="C23" s="1" t="s">
        <v>57</v>
      </c>
      <c r="D23" s="1" t="s">
        <v>11</v>
      </c>
      <c r="E23" s="2">
        <v>4</v>
      </c>
      <c r="F23" s="1"/>
      <c r="G23" s="2"/>
      <c r="H23" s="2" t="s">
        <v>21</v>
      </c>
      <c r="I23" s="2" t="s">
        <v>169</v>
      </c>
    </row>
    <row r="24" spans="1:10" x14ac:dyDescent="0.25">
      <c r="A24" s="3" t="s">
        <v>58</v>
      </c>
      <c r="B24" s="4" t="s">
        <v>59</v>
      </c>
      <c r="C24" s="5" t="s">
        <v>60</v>
      </c>
      <c r="D24" s="5" t="s">
        <v>11</v>
      </c>
      <c r="E24" s="4">
        <v>2</v>
      </c>
      <c r="F24" s="5"/>
      <c r="G24" s="4"/>
      <c r="H24" s="4"/>
      <c r="I24" s="4"/>
    </row>
    <row r="25" spans="1:10" x14ac:dyDescent="0.25">
      <c r="A25" t="s">
        <v>61</v>
      </c>
      <c r="B25" s="2" t="s">
        <v>62</v>
      </c>
      <c r="C25" s="1" t="s">
        <v>63</v>
      </c>
      <c r="D25" s="1" t="s">
        <v>11</v>
      </c>
      <c r="E25" s="2">
        <v>4</v>
      </c>
      <c r="F25" s="1"/>
      <c r="G25" s="2"/>
      <c r="H25" s="2" t="s">
        <v>21</v>
      </c>
      <c r="I25" s="2" t="s">
        <v>169</v>
      </c>
    </row>
    <row r="26" spans="1:10" s="16" customFormat="1" x14ac:dyDescent="0.25">
      <c r="A26" s="16" t="s">
        <v>64</v>
      </c>
      <c r="B26" s="17" t="s">
        <v>65</v>
      </c>
      <c r="C26" s="18" t="s">
        <v>66</v>
      </c>
      <c r="D26" s="18" t="s">
        <v>67</v>
      </c>
      <c r="E26" s="17">
        <v>1</v>
      </c>
      <c r="F26" s="18" t="s">
        <v>68</v>
      </c>
      <c r="G26" s="17"/>
      <c r="H26" s="17"/>
      <c r="I26" s="17"/>
    </row>
    <row r="27" spans="1:10" x14ac:dyDescent="0.25">
      <c r="A27" t="s">
        <v>69</v>
      </c>
      <c r="B27" s="2" t="s">
        <v>70</v>
      </c>
      <c r="C27" s="1" t="s">
        <v>71</v>
      </c>
      <c r="D27" s="1" t="s">
        <v>11</v>
      </c>
      <c r="E27" s="2">
        <v>1</v>
      </c>
      <c r="F27" s="1"/>
      <c r="G27" s="2"/>
      <c r="H27" s="2" t="s">
        <v>21</v>
      </c>
      <c r="I27" s="2" t="s">
        <v>169</v>
      </c>
    </row>
    <row r="28" spans="1:10" s="6" customFormat="1" x14ac:dyDescent="0.25">
      <c r="A28" s="6" t="s">
        <v>72</v>
      </c>
      <c r="B28" s="7" t="s">
        <v>73</v>
      </c>
      <c r="C28" s="8" t="s">
        <v>74</v>
      </c>
      <c r="D28" s="8" t="s">
        <v>11</v>
      </c>
      <c r="E28" s="7">
        <v>4</v>
      </c>
      <c r="F28" s="8"/>
      <c r="G28" s="7"/>
      <c r="H28" s="7" t="s">
        <v>21</v>
      </c>
      <c r="I28" s="7" t="s">
        <v>169</v>
      </c>
    </row>
    <row r="29" spans="1:10" s="16" customFormat="1" x14ac:dyDescent="0.25">
      <c r="A29" s="16" t="s">
        <v>75</v>
      </c>
      <c r="B29" s="17" t="s">
        <v>76</v>
      </c>
      <c r="C29" s="18" t="s">
        <v>77</v>
      </c>
      <c r="D29" s="18" t="s">
        <v>78</v>
      </c>
      <c r="E29" s="17">
        <v>1</v>
      </c>
      <c r="F29" s="18"/>
      <c r="G29" s="17"/>
      <c r="H29" s="17"/>
      <c r="I29" s="17"/>
    </row>
    <row r="30" spans="1:10" s="16" customFormat="1" x14ac:dyDescent="0.25">
      <c r="A30" s="16" t="s">
        <v>79</v>
      </c>
      <c r="B30" s="17" t="s">
        <v>80</v>
      </c>
      <c r="C30" s="18" t="s">
        <v>81</v>
      </c>
      <c r="D30" s="18" t="s">
        <v>82</v>
      </c>
      <c r="E30" s="17">
        <v>1</v>
      </c>
      <c r="F30" s="18" t="s">
        <v>83</v>
      </c>
      <c r="G30" s="17" t="s">
        <v>6</v>
      </c>
      <c r="H30" s="17" t="s">
        <v>21</v>
      </c>
      <c r="I30" s="17"/>
    </row>
    <row r="31" spans="1:10" s="20" customFormat="1" x14ac:dyDescent="0.25">
      <c r="A31" s="20" t="s">
        <v>84</v>
      </c>
      <c r="B31" s="21" t="s">
        <v>80</v>
      </c>
      <c r="C31" s="22" t="s">
        <v>81</v>
      </c>
      <c r="D31" s="22" t="s">
        <v>82</v>
      </c>
      <c r="E31" s="21">
        <v>1</v>
      </c>
      <c r="F31" s="22" t="s">
        <v>83</v>
      </c>
      <c r="G31" s="21"/>
      <c r="H31" s="21"/>
      <c r="I31" s="21"/>
    </row>
    <row r="32" spans="1:10" s="31" customFormat="1" x14ac:dyDescent="0.25">
      <c r="A32" s="31" t="s">
        <v>85</v>
      </c>
      <c r="B32" s="32" t="s">
        <v>86</v>
      </c>
      <c r="C32" s="33" t="s">
        <v>87</v>
      </c>
      <c r="D32" s="33" t="s">
        <v>88</v>
      </c>
      <c r="E32" s="32">
        <v>1</v>
      </c>
      <c r="F32" s="33"/>
      <c r="G32" s="32"/>
      <c r="H32" s="32"/>
      <c r="I32" s="32"/>
      <c r="J32" s="34" t="s">
        <v>172</v>
      </c>
    </row>
    <row r="33" spans="1:10" s="31" customFormat="1" x14ac:dyDescent="0.25">
      <c r="A33" s="31" t="s">
        <v>89</v>
      </c>
      <c r="B33" s="32" t="s">
        <v>90</v>
      </c>
      <c r="C33" s="33" t="s">
        <v>87</v>
      </c>
      <c r="D33" s="33" t="s">
        <v>11</v>
      </c>
      <c r="E33" s="32">
        <v>1</v>
      </c>
      <c r="F33" s="33"/>
      <c r="G33" s="32"/>
      <c r="H33" s="32"/>
      <c r="I33" s="32"/>
      <c r="J33" s="34" t="s">
        <v>171</v>
      </c>
    </row>
    <row r="34" spans="1:10" s="13" customFormat="1" x14ac:dyDescent="0.25">
      <c r="A34" s="10" t="s">
        <v>91</v>
      </c>
      <c r="B34" s="11" t="s">
        <v>34</v>
      </c>
      <c r="C34" s="12" t="s">
        <v>92</v>
      </c>
      <c r="D34" s="12" t="s">
        <v>11</v>
      </c>
      <c r="E34" s="11">
        <v>1</v>
      </c>
      <c r="F34" s="12"/>
      <c r="G34" s="11"/>
      <c r="H34" s="11"/>
      <c r="I34" s="11"/>
    </row>
    <row r="35" spans="1:10" s="16" customFormat="1" x14ac:dyDescent="0.25">
      <c r="A35" s="16" t="s">
        <v>93</v>
      </c>
      <c r="B35" s="17" t="s">
        <v>94</v>
      </c>
      <c r="C35" s="18" t="s">
        <v>92</v>
      </c>
      <c r="D35" s="23" t="s">
        <v>11</v>
      </c>
      <c r="E35" s="17">
        <v>1</v>
      </c>
      <c r="F35" s="18" t="s">
        <v>95</v>
      </c>
      <c r="G35" s="17"/>
      <c r="H35" s="17"/>
      <c r="I35" s="17"/>
    </row>
    <row r="36" spans="1:10" s="16" customFormat="1" x14ac:dyDescent="0.25">
      <c r="A36" s="16" t="s">
        <v>96</v>
      </c>
      <c r="B36" s="17" t="s">
        <v>97</v>
      </c>
      <c r="C36" s="18" t="s">
        <v>92</v>
      </c>
      <c r="D36" s="18" t="s">
        <v>11</v>
      </c>
      <c r="E36" s="17">
        <v>1</v>
      </c>
      <c r="F36" s="18"/>
      <c r="G36" s="17"/>
      <c r="H36" s="17"/>
      <c r="I36" s="17"/>
    </row>
    <row r="37" spans="1:10" s="16" customFormat="1" x14ac:dyDescent="0.25">
      <c r="A37" s="16" t="s">
        <v>98</v>
      </c>
      <c r="B37" s="17" t="s">
        <v>99</v>
      </c>
      <c r="C37" s="18" t="s">
        <v>92</v>
      </c>
      <c r="D37" s="18" t="s">
        <v>11</v>
      </c>
      <c r="E37" s="17">
        <v>1</v>
      </c>
      <c r="F37" s="18"/>
      <c r="G37" s="17"/>
      <c r="H37" s="17"/>
      <c r="I37" s="17"/>
    </row>
    <row r="38" spans="1:10" ht="15.75" customHeight="1" x14ac:dyDescent="0.25">
      <c r="A38" s="6" t="s">
        <v>100</v>
      </c>
      <c r="B38" s="7" t="s">
        <v>101</v>
      </c>
      <c r="C38" s="8" t="s">
        <v>102</v>
      </c>
      <c r="D38" s="8" t="s">
        <v>103</v>
      </c>
      <c r="E38" s="7">
        <v>1</v>
      </c>
      <c r="F38" s="8"/>
      <c r="G38" s="7"/>
      <c r="H38" s="7"/>
      <c r="I38" s="7" t="s">
        <v>169</v>
      </c>
    </row>
    <row r="39" spans="1:10" x14ac:dyDescent="0.25">
      <c r="A39" s="6" t="s">
        <v>104</v>
      </c>
      <c r="B39" s="7" t="s">
        <v>105</v>
      </c>
      <c r="C39" s="8" t="s">
        <v>10</v>
      </c>
      <c r="D39" s="8" t="s">
        <v>11</v>
      </c>
      <c r="E39" s="7">
        <v>6</v>
      </c>
      <c r="F39" s="8"/>
      <c r="G39" s="7"/>
      <c r="H39" s="7"/>
      <c r="I39" s="7" t="s">
        <v>169</v>
      </c>
    </row>
    <row r="40" spans="1:10" x14ac:dyDescent="0.25">
      <c r="A40" s="10" t="s">
        <v>110</v>
      </c>
      <c r="B40" s="11" t="s">
        <v>34</v>
      </c>
      <c r="C40" s="12" t="s">
        <v>111</v>
      </c>
      <c r="D40" s="26" t="s">
        <v>11</v>
      </c>
      <c r="E40" s="11">
        <v>2</v>
      </c>
      <c r="F40" s="12"/>
      <c r="G40" s="11"/>
      <c r="H40" s="11"/>
      <c r="I40" s="11"/>
    </row>
    <row r="41" spans="1:10" x14ac:dyDescent="0.25">
      <c r="A41" t="s">
        <v>112</v>
      </c>
      <c r="B41" s="2" t="s">
        <v>113</v>
      </c>
      <c r="C41" s="1" t="s">
        <v>10</v>
      </c>
      <c r="D41" s="1" t="s">
        <v>11</v>
      </c>
      <c r="E41" s="2">
        <v>1</v>
      </c>
      <c r="F41" s="1"/>
      <c r="G41" s="2"/>
      <c r="H41" s="2"/>
      <c r="I41" s="2" t="s">
        <v>169</v>
      </c>
    </row>
    <row r="42" spans="1:10" x14ac:dyDescent="0.25">
      <c r="A42" t="s">
        <v>114</v>
      </c>
      <c r="B42" s="2" t="s">
        <v>115</v>
      </c>
      <c r="C42" s="1" t="s">
        <v>10</v>
      </c>
      <c r="D42" s="1" t="s">
        <v>11</v>
      </c>
      <c r="E42" s="2">
        <v>2</v>
      </c>
      <c r="F42" s="1"/>
      <c r="G42" s="2"/>
      <c r="H42" s="2"/>
      <c r="I42" s="2" t="s">
        <v>169</v>
      </c>
    </row>
    <row r="43" spans="1:10" s="14" customFormat="1" x14ac:dyDescent="0.25">
      <c r="A43" s="10" t="s">
        <v>116</v>
      </c>
      <c r="B43" s="11" t="s">
        <v>34</v>
      </c>
      <c r="C43" s="12" t="s">
        <v>10</v>
      </c>
      <c r="D43" s="12" t="s">
        <v>11</v>
      </c>
      <c r="E43" s="11">
        <v>1</v>
      </c>
      <c r="F43" s="12"/>
      <c r="G43" s="11" t="s">
        <v>6</v>
      </c>
      <c r="H43" s="11" t="s">
        <v>21</v>
      </c>
      <c r="I43" s="11"/>
    </row>
    <row r="44" spans="1:10" s="14" customFormat="1" x14ac:dyDescent="0.25">
      <c r="A44" t="s">
        <v>117</v>
      </c>
      <c r="B44" s="2" t="s">
        <v>118</v>
      </c>
      <c r="C44" s="1" t="s">
        <v>10</v>
      </c>
      <c r="D44" s="1" t="s">
        <v>11</v>
      </c>
      <c r="E44" s="2">
        <v>2</v>
      </c>
      <c r="F44" s="1"/>
      <c r="G44" s="2"/>
      <c r="H44" s="2"/>
      <c r="I44" s="2" t="s">
        <v>169</v>
      </c>
    </row>
    <row r="45" spans="1:10" s="14" customFormat="1" x14ac:dyDescent="0.25">
      <c r="A45" s="6" t="s">
        <v>119</v>
      </c>
      <c r="B45" s="7" t="s">
        <v>120</v>
      </c>
      <c r="C45" s="8" t="s">
        <v>121</v>
      </c>
      <c r="D45" s="8" t="s">
        <v>122</v>
      </c>
      <c r="E45" s="7">
        <v>2</v>
      </c>
      <c r="F45" s="8" t="s">
        <v>123</v>
      </c>
      <c r="G45" s="7" t="s">
        <v>6</v>
      </c>
      <c r="H45" s="7" t="s">
        <v>21</v>
      </c>
      <c r="I45" s="7" t="s">
        <v>169</v>
      </c>
    </row>
    <row r="46" spans="1:10" s="14" customFormat="1" x14ac:dyDescent="0.25">
      <c r="A46" s="14" t="s">
        <v>124</v>
      </c>
      <c r="B46" s="24" t="s">
        <v>125</v>
      </c>
      <c r="C46" s="25" t="s">
        <v>10</v>
      </c>
      <c r="D46" s="25" t="s">
        <v>11</v>
      </c>
      <c r="E46" s="24">
        <v>2</v>
      </c>
      <c r="F46" s="25"/>
      <c r="G46" s="24"/>
      <c r="H46" s="24"/>
      <c r="I46" s="24" t="s">
        <v>169</v>
      </c>
    </row>
    <row r="47" spans="1:10" s="16" customFormat="1" x14ac:dyDescent="0.25">
      <c r="A47" s="16" t="s">
        <v>126</v>
      </c>
      <c r="B47" s="17">
        <v>120</v>
      </c>
      <c r="C47" s="18" t="s">
        <v>10</v>
      </c>
      <c r="D47" s="18" t="s">
        <v>11</v>
      </c>
      <c r="E47" s="17">
        <v>1</v>
      </c>
      <c r="F47" s="18"/>
      <c r="G47" s="17"/>
      <c r="H47" s="17"/>
      <c r="I47" s="17"/>
    </row>
    <row r="48" spans="1:10" s="16" customFormat="1" x14ac:dyDescent="0.25">
      <c r="A48" s="16" t="s">
        <v>127</v>
      </c>
      <c r="B48" s="17">
        <v>820</v>
      </c>
      <c r="C48" s="18" t="s">
        <v>10</v>
      </c>
      <c r="D48" s="18" t="s">
        <v>11</v>
      </c>
      <c r="E48" s="17">
        <v>1</v>
      </c>
      <c r="F48" s="18"/>
      <c r="G48" s="17"/>
      <c r="H48" s="17"/>
      <c r="I48" s="17"/>
    </row>
    <row r="49" spans="1:22" s="16" customFormat="1" x14ac:dyDescent="0.25">
      <c r="A49" s="16" t="s">
        <v>128</v>
      </c>
      <c r="B49" s="17">
        <v>50</v>
      </c>
      <c r="C49" s="18" t="s">
        <v>10</v>
      </c>
      <c r="D49" s="18" t="s">
        <v>11</v>
      </c>
      <c r="E49" s="17">
        <v>4</v>
      </c>
      <c r="F49" s="18"/>
      <c r="G49" s="17"/>
      <c r="H49" s="17"/>
      <c r="I49" s="17"/>
    </row>
    <row r="50" spans="1:22" s="16" customFormat="1" x14ac:dyDescent="0.25">
      <c r="A50" s="16" t="s">
        <v>129</v>
      </c>
      <c r="B50" s="17">
        <v>100</v>
      </c>
      <c r="C50" s="18" t="s">
        <v>10</v>
      </c>
      <c r="D50" s="18" t="s">
        <v>11</v>
      </c>
      <c r="E50" s="17">
        <v>1</v>
      </c>
      <c r="F50" s="18"/>
      <c r="G50" s="17"/>
      <c r="H50" s="17"/>
      <c r="I50" s="17"/>
    </row>
    <row r="51" spans="1:22" s="9" customFormat="1" x14ac:dyDescent="0.25">
      <c r="A51" t="s">
        <v>130</v>
      </c>
      <c r="B51" s="2" t="s">
        <v>131</v>
      </c>
      <c r="C51" s="1" t="s">
        <v>10</v>
      </c>
      <c r="D51" s="1" t="s">
        <v>11</v>
      </c>
      <c r="E51" s="2">
        <v>2</v>
      </c>
      <c r="F51" s="1"/>
      <c r="G51" s="2"/>
      <c r="H51" s="2"/>
      <c r="I51" s="2" t="s">
        <v>169</v>
      </c>
    </row>
    <row r="52" spans="1:22" s="9" customFormat="1" x14ac:dyDescent="0.25">
      <c r="A52" t="s">
        <v>106</v>
      </c>
      <c r="B52" s="2" t="s">
        <v>105</v>
      </c>
      <c r="C52" s="1" t="s">
        <v>10</v>
      </c>
      <c r="D52" s="15" t="s">
        <v>11</v>
      </c>
      <c r="E52" s="2">
        <v>2</v>
      </c>
      <c r="F52" s="1"/>
      <c r="G52" s="2" t="s">
        <v>6</v>
      </c>
      <c r="H52" s="2" t="s">
        <v>21</v>
      </c>
      <c r="I52" s="2" t="s">
        <v>169</v>
      </c>
    </row>
    <row r="53" spans="1:22" s="16" customFormat="1" x14ac:dyDescent="0.25">
      <c r="A53" s="16" t="s">
        <v>107</v>
      </c>
      <c r="B53" s="17">
        <v>470</v>
      </c>
      <c r="C53" s="18" t="s">
        <v>10</v>
      </c>
      <c r="D53" s="18" t="s">
        <v>11</v>
      </c>
      <c r="E53" s="17">
        <v>2</v>
      </c>
      <c r="F53" s="18"/>
      <c r="G53" s="17"/>
      <c r="H53" s="17"/>
      <c r="I53" s="17"/>
    </row>
    <row r="54" spans="1:22" x14ac:dyDescent="0.25">
      <c r="A54" t="s">
        <v>108</v>
      </c>
      <c r="B54" s="2" t="s">
        <v>109</v>
      </c>
      <c r="C54" s="1" t="s">
        <v>10</v>
      </c>
      <c r="D54" s="1" t="s">
        <v>11</v>
      </c>
      <c r="E54" s="2">
        <v>2</v>
      </c>
      <c r="F54" s="1"/>
      <c r="G54" s="2"/>
      <c r="H54" s="2"/>
      <c r="I54" s="2" t="s">
        <v>169</v>
      </c>
    </row>
    <row r="55" spans="1:22" s="6" customFormat="1" x14ac:dyDescent="0.25">
      <c r="A55" s="6" t="s">
        <v>132</v>
      </c>
      <c r="B55" s="7" t="s">
        <v>133</v>
      </c>
      <c r="C55" s="8" t="s">
        <v>134</v>
      </c>
      <c r="D55" s="8" t="s">
        <v>11</v>
      </c>
      <c r="E55" s="7">
        <v>11</v>
      </c>
      <c r="F55" s="8"/>
      <c r="G55" s="7"/>
      <c r="H55" s="7" t="s">
        <v>21</v>
      </c>
      <c r="I55" s="7"/>
    </row>
    <row r="56" spans="1:22" s="16" customFormat="1" x14ac:dyDescent="0.25">
      <c r="A56" s="16" t="s">
        <v>135</v>
      </c>
      <c r="B56" s="17" t="s">
        <v>136</v>
      </c>
      <c r="C56" s="18" t="s">
        <v>137</v>
      </c>
      <c r="D56" s="18" t="s">
        <v>138</v>
      </c>
      <c r="E56" s="17">
        <v>1</v>
      </c>
      <c r="F56" s="18"/>
      <c r="G56" s="17"/>
      <c r="H56" s="17"/>
      <c r="I56" s="17"/>
    </row>
    <row r="57" spans="1:22" s="27" customFormat="1" x14ac:dyDescent="0.25">
      <c r="A57" s="27" t="s">
        <v>139</v>
      </c>
      <c r="B57" s="28" t="s">
        <v>140</v>
      </c>
      <c r="C57" s="29" t="s">
        <v>141</v>
      </c>
      <c r="D57" s="29" t="s">
        <v>142</v>
      </c>
      <c r="E57" s="28">
        <v>1</v>
      </c>
      <c r="F57" s="29"/>
      <c r="G57" s="28"/>
      <c r="H57" s="28"/>
      <c r="I57" s="28"/>
      <c r="J57" s="30" t="s">
        <v>173</v>
      </c>
    </row>
    <row r="58" spans="1:22" s="16" customFormat="1" x14ac:dyDescent="0.25">
      <c r="A58" s="16" t="s">
        <v>143</v>
      </c>
      <c r="B58" s="17" t="s">
        <v>144</v>
      </c>
      <c r="C58" s="18" t="s">
        <v>145</v>
      </c>
      <c r="D58" s="18" t="s">
        <v>146</v>
      </c>
      <c r="E58" s="17">
        <v>1</v>
      </c>
      <c r="F58" s="18"/>
      <c r="G58" s="17"/>
      <c r="H58" s="17"/>
      <c r="I58" s="17"/>
    </row>
    <row r="59" spans="1:22" s="27" customFormat="1" x14ac:dyDescent="0.25">
      <c r="A59" s="27" t="s">
        <v>147</v>
      </c>
      <c r="B59" s="28" t="s">
        <v>148</v>
      </c>
      <c r="C59" s="29" t="s">
        <v>149</v>
      </c>
      <c r="D59" s="29" t="s">
        <v>150</v>
      </c>
      <c r="E59" s="28">
        <v>1</v>
      </c>
      <c r="F59" s="29"/>
      <c r="G59" s="28"/>
      <c r="H59" s="28"/>
      <c r="I59" s="28"/>
      <c r="J59" s="30" t="s">
        <v>174</v>
      </c>
    </row>
    <row r="60" spans="1:22" s="16" customFormat="1" x14ac:dyDescent="0.25">
      <c r="A60" s="16" t="s">
        <v>151</v>
      </c>
      <c r="B60" s="17" t="s">
        <v>152</v>
      </c>
      <c r="C60" s="18" t="s">
        <v>40</v>
      </c>
      <c r="D60" s="18" t="s">
        <v>153</v>
      </c>
      <c r="E60" s="17">
        <v>1</v>
      </c>
      <c r="F60" s="18"/>
      <c r="G60" s="17"/>
      <c r="H60" s="17"/>
      <c r="I60" s="17"/>
    </row>
    <row r="61" spans="1:22" s="16" customFormat="1" x14ac:dyDescent="0.25">
      <c r="A61" s="16" t="s">
        <v>154</v>
      </c>
      <c r="B61" s="17" t="s">
        <v>155</v>
      </c>
      <c r="C61" s="18" t="s">
        <v>156</v>
      </c>
      <c r="D61" s="18" t="s">
        <v>157</v>
      </c>
      <c r="E61" s="17">
        <v>1</v>
      </c>
      <c r="F61" s="18"/>
      <c r="G61" s="17"/>
      <c r="H61" s="17"/>
      <c r="I61" s="17"/>
    </row>
    <row r="62" spans="1:22" s="16" customFormat="1" x14ac:dyDescent="0.25">
      <c r="A62" s="16" t="s">
        <v>158</v>
      </c>
      <c r="B62" s="17" t="s">
        <v>159</v>
      </c>
      <c r="C62" s="18" t="s">
        <v>160</v>
      </c>
      <c r="D62" s="18"/>
      <c r="E62" s="17">
        <v>1</v>
      </c>
      <c r="F62" s="18"/>
      <c r="G62" s="17"/>
      <c r="H62" s="17"/>
      <c r="I62" s="17"/>
    </row>
    <row r="63" spans="1:22" s="27" customFormat="1" x14ac:dyDescent="0.25">
      <c r="A63" s="27" t="s">
        <v>161</v>
      </c>
      <c r="B63" s="28" t="s">
        <v>162</v>
      </c>
      <c r="C63" s="29" t="s">
        <v>163</v>
      </c>
      <c r="D63" s="29" t="s">
        <v>164</v>
      </c>
      <c r="E63" s="28">
        <v>1</v>
      </c>
      <c r="F63" s="29"/>
      <c r="G63" s="28"/>
      <c r="H63" s="28"/>
      <c r="I63" s="28"/>
      <c r="J63" s="30" t="s">
        <v>175</v>
      </c>
    </row>
    <row r="64" spans="1:22" s="16" customFormat="1" x14ac:dyDescent="0.25">
      <c r="A64" s="16" t="s">
        <v>165</v>
      </c>
      <c r="B64" s="17" t="s">
        <v>166</v>
      </c>
      <c r="C64" s="18" t="s">
        <v>167</v>
      </c>
      <c r="D64" s="18" t="s">
        <v>168</v>
      </c>
      <c r="E64" s="17">
        <v>1</v>
      </c>
      <c r="F64" s="18"/>
      <c r="G64" s="17"/>
      <c r="H64" s="17"/>
      <c r="I64" s="17"/>
      <c r="V64" s="16" t="s">
        <v>176</v>
      </c>
    </row>
    <row r="66" spans="5:5" x14ac:dyDescent="0.25">
      <c r="E66">
        <f>SUM(E2:E65)</f>
        <v>130</v>
      </c>
    </row>
  </sheetData>
  <hyperlinks>
    <hyperlink ref="J32" r:id="rId1" xr:uid="{6EB7B4EE-AE98-4ECF-9248-747436FB011B}"/>
    <hyperlink ref="J33" r:id="rId2" xr:uid="{F90FE265-AB18-4D7E-B4F9-419B14C59641}"/>
    <hyperlink ref="J57" r:id="rId3" xr:uid="{38F26367-1638-48FE-A1F6-6C67DD687D29}"/>
    <hyperlink ref="J59" r:id="rId4" xr:uid="{8C73D688-D79D-49D7-9421-9AB40658A9F4}"/>
    <hyperlink ref="J63" r:id="rId5" xr:uid="{8BE4DA6C-C147-4BCC-A525-D52B00D7A47F}"/>
  </hyperlinks>
  <pageMargins left="0.7" right="0.7" top="0.78740157499999996" bottom="0.78740157499999996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Tesla_sextant_BT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Hrubý</dc:creator>
  <cp:lastModifiedBy>Hrubý Leo Jakub</cp:lastModifiedBy>
  <dcterms:created xsi:type="dcterms:W3CDTF">2026-02-22T13:35:02Z</dcterms:created>
  <dcterms:modified xsi:type="dcterms:W3CDTF">2026-02-22T20:09:13Z</dcterms:modified>
</cp:coreProperties>
</file>